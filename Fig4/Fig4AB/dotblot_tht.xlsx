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rtfs-hpc.dartmouth.edu\rc\lab\S\SchultzLab\Ritz\Diabetic\final code\dot blot tht\"/>
    </mc:Choice>
  </mc:AlternateContent>
  <xr:revisionPtr revIDLastSave="0" documentId="13_ncr:1_{787D930C-2719-4F71-B56F-B226C976E492}" xr6:coauthVersionLast="47" xr6:coauthVersionMax="47" xr10:uidLastSave="{00000000-0000-0000-0000-000000000000}"/>
  <bookViews>
    <workbookView xWindow="-108" yWindow="-108" windowWidth="23256" windowHeight="12456" activeTab="2" xr2:uid="{18118F91-B4EB-4373-9F7E-8930E8C40ADB}"/>
  </bookViews>
  <sheets>
    <sheet name="Humalog" sheetId="2" r:id="rId1"/>
    <sheet name="Novolog" sheetId="3" r:id="rId2"/>
    <sheet name="Basagla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9" i="3"/>
  <c r="B5" i="3"/>
</calcChain>
</file>

<file path=xl/sharedStrings.xml><?xml version="1.0" encoding="utf-8"?>
<sst xmlns="http://schemas.openxmlformats.org/spreadsheetml/2006/main" count="39" uniqueCount="8">
  <si>
    <t>Exposure</t>
  </si>
  <si>
    <t>ThT (norm.)</t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</si>
  <si>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</si>
  <si>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for 2 days</t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</si>
  <si>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and ag. for 14 days</t>
    </r>
  </si>
  <si>
    <t>replicate #</t>
  </si>
  <si>
    <t>3x freeze-thaw cycles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</si>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</sst>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2E67-E39F-4432-9A79-C2947F162A42}">
  <dimension ref="A1:C10"/>
  <sheetViews>
    <sheetView workbookViewId="0">
      <selection activeCell="D22" sqref="D22"/>
    </sheetView>
  </sheetViews>
  <sheetFormatPr defaultRowHeight="14.4" x14ac:dyDescent="0.3"/>
  <cols>
    <col min="1" max="1" width="20.44140625" bestFit="1" customWidth="1"/>
    <col min="2" max="2" width="9.88671875" bestFit="1" customWidth="1"/>
    <col min="3" max="3" width="10.33203125" bestFit="1" customWidth="1"/>
  </cols>
  <sheetData>
    <row r="1" spans="1:3" x14ac:dyDescent="0.3">
      <c r="A1" s="1" t="s">
        <v>0</v>
      </c>
      <c r="B1" s="1" t="s">
        <v>5</v>
      </c>
      <c r="C1" s="1" t="s">
        <v>1</v>
      </c>
    </row>
    <row r="2" spans="1:3" ht="16.2" x14ac:dyDescent="0.3">
      <c r="A2" s="2" t="s">
        <v>2</v>
      </c>
      <c r="B2" s="3">
        <v>1</v>
      </c>
      <c r="C2" s="4">
        <v>1.0772727272727274</v>
      </c>
    </row>
    <row r="3" spans="1:3" ht="16.2" x14ac:dyDescent="0.3">
      <c r="A3" s="2" t="s">
        <v>2</v>
      </c>
      <c r="B3" s="3">
        <v>2</v>
      </c>
      <c r="C3" s="4">
        <v>0.97045454545454546</v>
      </c>
    </row>
    <row r="4" spans="1:3" ht="16.2" x14ac:dyDescent="0.3">
      <c r="A4" s="2" t="s">
        <v>2</v>
      </c>
      <c r="B4" s="3">
        <v>3</v>
      </c>
      <c r="C4" s="4">
        <v>0.95227272727272727</v>
      </c>
    </row>
    <row r="5" spans="1:3" ht="16.2" x14ac:dyDescent="0.3">
      <c r="A5" s="2" t="s">
        <v>6</v>
      </c>
      <c r="B5" s="3">
        <v>1</v>
      </c>
      <c r="C5" s="4">
        <v>3.5590909090909091</v>
      </c>
    </row>
    <row r="6" spans="1:3" x14ac:dyDescent="0.3">
      <c r="A6" s="2" t="s">
        <v>6</v>
      </c>
      <c r="B6" s="3">
        <v>2</v>
      </c>
      <c r="C6" s="4">
        <v>3.5977272727272727</v>
      </c>
    </row>
    <row r="7" spans="1:3" x14ac:dyDescent="0.3">
      <c r="A7" s="2" t="s">
        <v>6</v>
      </c>
      <c r="B7" s="3">
        <v>3</v>
      </c>
      <c r="C7" s="4">
        <v>4.0363636363636362</v>
      </c>
    </row>
    <row r="8" spans="1:3" ht="16.2" x14ac:dyDescent="0.3">
      <c r="A8" s="2" t="s">
        <v>3</v>
      </c>
      <c r="B8" s="3">
        <v>1</v>
      </c>
      <c r="C8" s="4">
        <v>13.813636363636364</v>
      </c>
    </row>
    <row r="9" spans="1:3" ht="16.2" x14ac:dyDescent="0.3">
      <c r="A9" s="2" t="s">
        <v>3</v>
      </c>
      <c r="B9" s="3">
        <v>2</v>
      </c>
      <c r="C9" s="4">
        <v>11.381818181818181</v>
      </c>
    </row>
    <row r="10" spans="1:3" ht="16.2" x14ac:dyDescent="0.3">
      <c r="A10" s="2" t="s">
        <v>3</v>
      </c>
      <c r="B10" s="3">
        <v>3</v>
      </c>
      <c r="C10" s="4">
        <v>11.475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4602-3481-4AC2-969A-BB5E46FAECB2}">
  <dimension ref="A1:C13"/>
  <sheetViews>
    <sheetView workbookViewId="0">
      <selection activeCell="I8" sqref="I8"/>
    </sheetView>
  </sheetViews>
  <sheetFormatPr defaultRowHeight="14.4" x14ac:dyDescent="0.3"/>
  <cols>
    <col min="1" max="1" width="20.44140625" bestFit="1" customWidth="1"/>
    <col min="2" max="2" width="9.88671875" bestFit="1" customWidth="1"/>
    <col min="3" max="3" width="10.33203125" bestFit="1" customWidth="1"/>
  </cols>
  <sheetData>
    <row r="1" spans="1:3" x14ac:dyDescent="0.3">
      <c r="A1" s="1" t="s">
        <v>0</v>
      </c>
      <c r="B1" s="1" t="s">
        <v>5</v>
      </c>
      <c r="C1" s="1" t="s">
        <v>1</v>
      </c>
    </row>
    <row r="2" spans="1:3" ht="16.2" x14ac:dyDescent="0.3">
      <c r="A2" s="2" t="s">
        <v>2</v>
      </c>
      <c r="B2" s="3">
        <v>1</v>
      </c>
      <c r="C2" s="4">
        <v>0.9719626168224299</v>
      </c>
    </row>
    <row r="3" spans="1:3" ht="16.2" x14ac:dyDescent="0.3">
      <c r="A3" s="2" t="s">
        <v>2</v>
      </c>
      <c r="B3" s="3">
        <v>2</v>
      </c>
      <c r="C3" s="4">
        <v>0.91855807743658213</v>
      </c>
    </row>
    <row r="4" spans="1:3" ht="16.2" x14ac:dyDescent="0.3">
      <c r="A4" s="2" t="s">
        <v>2</v>
      </c>
      <c r="B4" s="3">
        <v>3</v>
      </c>
      <c r="C4" s="4">
        <v>0.90787716955941256</v>
      </c>
    </row>
    <row r="5" spans="1:3" ht="16.2" x14ac:dyDescent="0.3">
      <c r="A5" s="2" t="s">
        <v>2</v>
      </c>
      <c r="B5" s="3">
        <f>B4+1</f>
        <v>4</v>
      </c>
      <c r="C5" s="4">
        <v>1.2016021361815754</v>
      </c>
    </row>
    <row r="6" spans="1:3" x14ac:dyDescent="0.3">
      <c r="A6" s="2" t="s">
        <v>7</v>
      </c>
      <c r="B6" s="3">
        <v>1</v>
      </c>
      <c r="C6" s="4">
        <v>1.5914552736982643</v>
      </c>
    </row>
    <row r="7" spans="1:3" x14ac:dyDescent="0.3">
      <c r="A7" s="2" t="s">
        <v>7</v>
      </c>
      <c r="B7" s="3">
        <v>2</v>
      </c>
      <c r="C7" s="4">
        <v>2.0293724966622162</v>
      </c>
    </row>
    <row r="8" spans="1:3" x14ac:dyDescent="0.3">
      <c r="A8" s="2" t="s">
        <v>7</v>
      </c>
      <c r="B8" s="3">
        <v>3</v>
      </c>
      <c r="C8" s="4">
        <v>2.2029372496662218</v>
      </c>
    </row>
    <row r="9" spans="1:3" x14ac:dyDescent="0.3">
      <c r="A9" s="2" t="s">
        <v>7</v>
      </c>
      <c r="B9" s="3">
        <f>B8+1</f>
        <v>4</v>
      </c>
      <c r="C9" s="4">
        <v>1.548731642189586</v>
      </c>
    </row>
    <row r="10" spans="1:3" ht="16.2" x14ac:dyDescent="0.3">
      <c r="A10" s="2" t="s">
        <v>3</v>
      </c>
      <c r="B10" s="3">
        <v>1</v>
      </c>
      <c r="C10" s="4">
        <v>26.648865153538051</v>
      </c>
    </row>
    <row r="11" spans="1:3" ht="16.2" x14ac:dyDescent="0.3">
      <c r="A11" s="2" t="s">
        <v>3</v>
      </c>
      <c r="B11" s="3">
        <v>2</v>
      </c>
      <c r="C11" s="4">
        <v>27.562082777036046</v>
      </c>
    </row>
    <row r="12" spans="1:3" ht="16.2" x14ac:dyDescent="0.3">
      <c r="A12" s="2" t="s">
        <v>3</v>
      </c>
      <c r="B12" s="3">
        <v>3</v>
      </c>
      <c r="C12" s="4">
        <v>26.838451268357812</v>
      </c>
    </row>
    <row r="13" spans="1:3" ht="16.2" x14ac:dyDescent="0.3">
      <c r="A13" s="2" t="s">
        <v>3</v>
      </c>
      <c r="B13" s="3">
        <f>B12+1</f>
        <v>4</v>
      </c>
      <c r="C13" s="4">
        <v>26.205607476635514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8C59-3387-4E41-8B61-9259DED6FAA9}">
  <dimension ref="A1:C10"/>
  <sheetViews>
    <sheetView tabSelected="1" workbookViewId="0"/>
  </sheetViews>
  <sheetFormatPr defaultRowHeight="14.4" x14ac:dyDescent="0.3"/>
  <cols>
    <col min="1" max="1" width="20.44140625" bestFit="1" customWidth="1"/>
    <col min="2" max="2" width="9.88671875" bestFit="1" customWidth="1"/>
    <col min="3" max="3" width="10.33203125" bestFit="1" customWidth="1"/>
  </cols>
  <sheetData>
    <row r="1" spans="1:3" x14ac:dyDescent="0.3">
      <c r="A1" s="1" t="s">
        <v>0</v>
      </c>
      <c r="B1" s="1" t="s">
        <v>5</v>
      </c>
      <c r="C1" s="1" t="s">
        <v>1</v>
      </c>
    </row>
    <row r="2" spans="1:3" ht="16.2" x14ac:dyDescent="0.3">
      <c r="A2" s="2" t="s">
        <v>2</v>
      </c>
      <c r="B2" s="3">
        <v>1</v>
      </c>
      <c r="C2" s="4">
        <v>0.98827884022208501</v>
      </c>
    </row>
    <row r="3" spans="1:3" ht="16.2" x14ac:dyDescent="0.3">
      <c r="A3" s="2" t="s">
        <v>2</v>
      </c>
      <c r="B3" s="3">
        <v>2</v>
      </c>
      <c r="C3" s="4">
        <v>1.0215916101172116</v>
      </c>
    </row>
    <row r="4" spans="1:3" ht="16.2" x14ac:dyDescent="0.3">
      <c r="A4" s="2" t="s">
        <v>2</v>
      </c>
      <c r="B4" s="3">
        <v>3</v>
      </c>
      <c r="C4" s="4">
        <v>0.99012954966070321</v>
      </c>
    </row>
    <row r="5" spans="1:3" ht="16.2" x14ac:dyDescent="0.3">
      <c r="A5" s="2" t="s">
        <v>3</v>
      </c>
      <c r="B5" s="3">
        <v>1</v>
      </c>
      <c r="C5" s="4">
        <v>1.4583590376310918</v>
      </c>
    </row>
    <row r="6" spans="1:3" ht="16.2" x14ac:dyDescent="0.3">
      <c r="A6" s="2" t="s">
        <v>3</v>
      </c>
      <c r="B6" s="3">
        <v>2</v>
      </c>
      <c r="C6" s="4">
        <v>1.2103639728562614</v>
      </c>
    </row>
    <row r="7" spans="1:3" ht="16.2" x14ac:dyDescent="0.3">
      <c r="A7" s="2" t="s">
        <v>3</v>
      </c>
      <c r="B7" s="3">
        <v>3</v>
      </c>
      <c r="C7" s="4">
        <v>1.1714990746452807</v>
      </c>
    </row>
    <row r="8" spans="1:3" ht="16.2" x14ac:dyDescent="0.3">
      <c r="A8" s="2" t="s">
        <v>4</v>
      </c>
      <c r="B8" s="3">
        <v>1</v>
      </c>
      <c r="C8" s="4">
        <v>40.950647748303517</v>
      </c>
    </row>
    <row r="9" spans="1:3" ht="16.2" x14ac:dyDescent="0.3">
      <c r="A9" s="2" t="s">
        <v>4</v>
      </c>
      <c r="B9" s="3">
        <v>2</v>
      </c>
      <c r="C9" s="4">
        <v>48.79395434916718</v>
      </c>
    </row>
    <row r="10" spans="1:3" ht="16.2" x14ac:dyDescent="0.3">
      <c r="A10" s="2" t="s">
        <v>4</v>
      </c>
      <c r="B10" s="3">
        <v>3</v>
      </c>
      <c r="C10" s="4">
        <v>46.800740283775447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Humalog</vt:lpstr>
      <vt:lpstr>Novolog</vt:lpstr>
      <vt:lpstr>Basaglar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Ritz</dc:creator>
  <cp:lastModifiedBy>David Ritz</cp:lastModifiedBy>
  <dcterms:created xsi:type="dcterms:W3CDTF">2025-09-30T12:30:16Z</dcterms:created>
  <dcterms:modified xsi:type="dcterms:W3CDTF">2025-09-30T13:24:13Z</dcterms:modified>
</cp:coreProperties>
</file>